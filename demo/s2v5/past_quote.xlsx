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&quot;　（税込）&quot;"/>
    <numFmt numFmtId="165" formatCode="&quot;¥&quot;#,##0"/>
  </numFmts>
  <fonts count="8">
    <font>
      <name val="Calibri"/>
      <family val="2"/>
      <color theme="1"/>
      <sz val="11"/>
      <scheme val="minor"/>
    </font>
    <font>
      <name val="游ゴシック"/>
      <b val="1"/>
      <sz val="22"/>
    </font>
    <font>
      <name val="游ゴシック"/>
      <sz val="10"/>
    </font>
    <font>
      <name val="游ゴシック"/>
      <b val="1"/>
      <sz val="16"/>
      <u val="single"/>
    </font>
    <font>
      <name val="游ゴシック"/>
      <sz val="14"/>
    </font>
    <font>
      <name val="游ゴシック"/>
      <b val="1"/>
      <sz val="11"/>
    </font>
    <font>
      <name val="游ゴシック"/>
      <b val="1"/>
      <sz val="14"/>
    </font>
    <font>
      <name val="游ゴシック"/>
      <sz val="9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7" customWidth="1" min="4" max="4"/>
    <col width="7" customWidth="1" min="5" max="5"/>
    <col width="14" customWidth="1" min="6" max="6"/>
    <col width="14" customWidth="1" min="7" max="7"/>
  </cols>
  <sheetData>
    <row r="1" ht="40" customHeight="1">
      <c r="A1" s="1" t="inlineStr">
        <is>
          <t>見　積　書</t>
        </is>
      </c>
    </row>
    <row r="2">
      <c r="F2" s="2" t="inlineStr">
        <is>
          <t>見積番号：</t>
        </is>
      </c>
      <c r="G2" s="2" t="inlineStr">
        <is>
          <t>Q-2025-0872</t>
        </is>
      </c>
    </row>
    <row r="3">
      <c r="F3" s="2" t="inlineStr">
        <is>
          <t>発行日：</t>
        </is>
      </c>
      <c r="G3" s="2" t="inlineStr">
        <is>
          <t>2025年10月15日</t>
        </is>
      </c>
    </row>
    <row r="4">
      <c r="A4" s="3" t="inlineStr">
        <is>
          <t>ホテル・ラ・スイート横浜</t>
        </is>
      </c>
      <c r="D4" s="4" t="inlineStr">
        <is>
          <t>御中</t>
        </is>
      </c>
      <c r="F4" s="2" t="inlineStr">
        <is>
          <t>有効期限：</t>
        </is>
      </c>
      <c r="G4" s="2" t="inlineStr">
        <is>
          <t>発行日より30日間</t>
        </is>
      </c>
    </row>
    <row r="6">
      <c r="A6" s="5" t="inlineStr">
        <is>
          <t>下記の通り、お見積り申し上げます。ご査収のほど、よろしくお願い申し上げます。</t>
        </is>
      </c>
    </row>
    <row r="8">
      <c r="A8" s="6" t="inlineStr">
        <is>
          <t>合計金額</t>
        </is>
      </c>
      <c r="B8" s="7">
        <f>G35</f>
        <v/>
      </c>
      <c r="C8" s="8" t="n"/>
      <c r="D8" s="8" t="n"/>
    </row>
    <row r="10">
      <c r="A10" s="9" t="inlineStr">
        <is>
          <t>件名：</t>
        </is>
      </c>
      <c r="B10" s="2" t="inlineStr">
        <is>
          <t>客室テレビ・Wi-Fi環境一式</t>
        </is>
      </c>
      <c r="F10" s="9" t="inlineStr">
        <is>
          <t>株式会社ヒルウラコム</t>
        </is>
      </c>
    </row>
    <row r="11">
      <c r="A11" s="9" t="inlineStr">
        <is>
          <t>納期：</t>
        </is>
      </c>
      <c r="B11" s="2" t="inlineStr">
        <is>
          <t>2025年12月末まで</t>
        </is>
      </c>
      <c r="F11" s="2" t="inlineStr">
        <is>
          <t>〒150-0002</t>
        </is>
      </c>
    </row>
    <row r="12">
      <c r="A12" s="9" t="inlineStr">
        <is>
          <t>支払条件：</t>
        </is>
      </c>
      <c r="B12" s="2" t="inlineStr">
        <is>
          <t>納品完了後、翌月末日までの銀行振込</t>
        </is>
      </c>
      <c r="F12" s="2" t="inlineStr">
        <is>
          <t>東京都渋谷区渋谷1-2-3</t>
        </is>
      </c>
    </row>
    <row r="13">
      <c r="F13" s="2" t="inlineStr">
        <is>
          <t>TEL: 03-1234-5678</t>
        </is>
      </c>
    </row>
    <row r="14">
      <c r="F14" s="2" t="inlineStr">
        <is>
          <t>担当：田中 太郎</t>
        </is>
      </c>
    </row>
    <row r="16">
      <c r="A16" s="6" t="inlineStr">
        <is>
          <t>No.</t>
        </is>
      </c>
      <c r="B16" s="6" t="inlineStr">
        <is>
          <t>品番</t>
        </is>
      </c>
      <c r="C16" s="6" t="inlineStr">
        <is>
          <t>品名</t>
        </is>
      </c>
      <c r="D16" s="6" t="inlineStr">
        <is>
          <t>数量</t>
        </is>
      </c>
      <c r="E16" s="6" t="inlineStr">
        <is>
          <t>単位</t>
        </is>
      </c>
      <c r="F16" s="6" t="inlineStr">
        <is>
          <t>単価</t>
        </is>
      </c>
      <c r="G16" s="6" t="inlineStr">
        <is>
          <t>金額</t>
        </is>
      </c>
    </row>
    <row r="17">
      <c r="A17" s="10" t="n">
        <v>1</v>
      </c>
      <c r="B17" s="10" t="inlineStr">
        <is>
          <t>TV-SN-43X80K</t>
        </is>
      </c>
      <c r="C17" s="11" t="inlineStr">
        <is>
          <t>BRAVIA 43V型 4K液晶テレビ KJ-43X80K</t>
        </is>
      </c>
      <c r="D17" s="10" t="n">
        <v>45</v>
      </c>
      <c r="E17" s="10" t="inlineStr">
        <is>
          <t>台</t>
        </is>
      </c>
      <c r="F17" s="12" t="n">
        <v>108000</v>
      </c>
      <c r="G17" s="12">
        <f>D17*F17</f>
        <v/>
      </c>
    </row>
    <row r="18">
      <c r="A18" s="10" t="n">
        <v>2</v>
      </c>
      <c r="B18" s="10" t="inlineStr">
        <is>
          <t>TV-SN-55X80K</t>
        </is>
      </c>
      <c r="C18" s="11" t="inlineStr">
        <is>
          <t>BRAVIA 55V型 4K液晶テレビ KJ-55X80K</t>
        </is>
      </c>
      <c r="D18" s="10" t="n">
        <v>5</v>
      </c>
      <c r="E18" s="10" t="inlineStr">
        <is>
          <t>台</t>
        </is>
      </c>
      <c r="F18" s="12" t="n">
        <v>155000</v>
      </c>
      <c r="G18" s="12">
        <f>D18*F18</f>
        <v/>
      </c>
    </row>
    <row r="19">
      <c r="A19" s="10" t="n">
        <v>3</v>
      </c>
      <c r="B19" s="10" t="inlineStr">
        <is>
          <t>WIFI-AR-AP515</t>
        </is>
      </c>
      <c r="C19" s="11" t="inlineStr">
        <is>
          <t>Aruba 無線AP AP-515</t>
        </is>
      </c>
      <c r="D19" s="10" t="n">
        <v>12</v>
      </c>
      <c r="E19" s="10" t="inlineStr">
        <is>
          <t>台</t>
        </is>
      </c>
      <c r="F19" s="12" t="n">
        <v>72000</v>
      </c>
      <c r="G19" s="12">
        <f>D19*F19</f>
        <v/>
      </c>
    </row>
    <row r="20">
      <c r="A20" s="10" t="n">
        <v>4</v>
      </c>
      <c r="B20" s="10" t="inlineStr">
        <is>
          <t>WIFI-YA-RTX830</t>
        </is>
      </c>
      <c r="C20" s="11" t="inlineStr">
        <is>
          <t>YAMAHA ギガビットVPNルーター RTX830</t>
        </is>
      </c>
      <c r="D20" s="10" t="n">
        <v>1</v>
      </c>
      <c r="E20" s="10" t="inlineStr">
        <is>
          <t>台</t>
        </is>
      </c>
      <c r="F20" s="12" t="n">
        <v>82000</v>
      </c>
      <c r="G20" s="12">
        <f>D20*F20</f>
        <v/>
      </c>
    </row>
    <row r="21">
      <c r="A21" s="10" t="n">
        <v>5</v>
      </c>
      <c r="B21" s="10" t="inlineStr">
        <is>
          <t>WIFI-CI-C1200</t>
        </is>
      </c>
      <c r="C21" s="11" t="inlineStr">
        <is>
          <t>Cisco Catalyst 1200 PoEスイッチ 24ポート</t>
        </is>
      </c>
      <c r="D21" s="10" t="n">
        <v>2</v>
      </c>
      <c r="E21" s="10" t="inlineStr">
        <is>
          <t>台</t>
        </is>
      </c>
      <c r="F21" s="12" t="n">
        <v>135000</v>
      </c>
      <c r="G21" s="12">
        <f>D21*F21</f>
        <v/>
      </c>
    </row>
    <row r="22">
      <c r="A22" s="10" t="n">
        <v>6</v>
      </c>
      <c r="B22" s="10" t="inlineStr">
        <is>
          <t>CAB-SW-LAN10</t>
        </is>
      </c>
      <c r="C22" s="11" t="inlineStr">
        <is>
          <t>サンワサプライ LANケーブル Cat6A 10m</t>
        </is>
      </c>
      <c r="D22" s="10" t="n">
        <v>80</v>
      </c>
      <c r="E22" s="10" t="inlineStr">
        <is>
          <t>本</t>
        </is>
      </c>
      <c r="F22" s="12" t="n">
        <v>1500</v>
      </c>
      <c r="G22" s="12">
        <f>D22*F22</f>
        <v/>
      </c>
    </row>
    <row r="23">
      <c r="A23" s="10" t="n">
        <v>7</v>
      </c>
      <c r="B23" s="10" t="inlineStr">
        <is>
          <t>CAB-EL-HDMI3</t>
        </is>
      </c>
      <c r="C23" s="11" t="inlineStr">
        <is>
          <t>エレコム HDMIケーブル 3m</t>
        </is>
      </c>
      <c r="D23" s="10" t="n">
        <v>50</v>
      </c>
      <c r="E23" s="10" t="inlineStr">
        <is>
          <t>本</t>
        </is>
      </c>
      <c r="F23" s="12" t="n">
        <v>1200</v>
      </c>
      <c r="G23" s="12">
        <f>D23*F23</f>
        <v/>
      </c>
    </row>
    <row r="24">
      <c r="A24" s="10" t="n">
        <v>8</v>
      </c>
      <c r="B24" s="10" t="inlineStr">
        <is>
          <t>PART-VM-3255</t>
        </is>
      </c>
      <c r="C24" s="11" t="inlineStr">
        <is>
          <t>VESAマウント壁掛け金具 32-55型対応</t>
        </is>
      </c>
      <c r="D24" s="10" t="n">
        <v>50</v>
      </c>
      <c r="E24" s="10" t="inlineStr">
        <is>
          <t>個</t>
        </is>
      </c>
      <c r="F24" s="12" t="n">
        <v>3800</v>
      </c>
      <c r="G24" s="12">
        <f>D24*F24</f>
        <v/>
      </c>
    </row>
    <row r="25">
      <c r="A25" s="10" t="n">
        <v>9</v>
      </c>
      <c r="B25" s="10" t="inlineStr">
        <is>
          <t>PART-WALL-SET</t>
        </is>
      </c>
      <c r="C25" s="11" t="inlineStr">
        <is>
          <t>壁内配線資材セット</t>
        </is>
      </c>
      <c r="D25" s="10" t="n">
        <v>50</v>
      </c>
      <c r="E25" s="10" t="inlineStr">
        <is>
          <t>セット</t>
        </is>
      </c>
      <c r="F25" s="12" t="n">
        <v>6500</v>
      </c>
      <c r="G25" s="12">
        <f>D25*F25</f>
        <v/>
      </c>
    </row>
    <row r="26">
      <c r="A26" s="10" t="n">
        <v>10</v>
      </c>
      <c r="B26" s="10" t="inlineStr">
        <is>
          <t>WORK-TV-INST</t>
        </is>
      </c>
      <c r="C26" s="11" t="inlineStr">
        <is>
          <t>テレビ設置工事</t>
        </is>
      </c>
      <c r="D26" s="10" t="n">
        <v>50</v>
      </c>
      <c r="E26" s="10" t="inlineStr">
        <is>
          <t>台</t>
        </is>
      </c>
      <c r="F26" s="12" t="n">
        <v>12000</v>
      </c>
      <c r="G26" s="12">
        <f>D26*F26</f>
        <v/>
      </c>
    </row>
    <row r="27">
      <c r="A27" s="10" t="n">
        <v>11</v>
      </c>
      <c r="B27" s="10" t="inlineStr">
        <is>
          <t>WORK-LAN-INST</t>
        </is>
      </c>
      <c r="C27" s="11" t="inlineStr">
        <is>
          <t>LAN配線工事</t>
        </is>
      </c>
      <c r="D27" s="10" t="n">
        <v>50</v>
      </c>
      <c r="E27" s="10" t="inlineStr">
        <is>
          <t>箇所</t>
        </is>
      </c>
      <c r="F27" s="12" t="n">
        <v>8500</v>
      </c>
      <c r="G27" s="12">
        <f>D27*F27</f>
        <v/>
      </c>
    </row>
    <row r="28">
      <c r="A28" s="10" t="n">
        <v>12</v>
      </c>
      <c r="B28" s="10" t="inlineStr">
        <is>
          <t>WORK-AP-INST</t>
        </is>
      </c>
      <c r="C28" s="11" t="inlineStr">
        <is>
          <t>無線AP設置・設定工事</t>
        </is>
      </c>
      <c r="D28" s="10" t="n">
        <v>12</v>
      </c>
      <c r="E28" s="10" t="inlineStr">
        <is>
          <t>台</t>
        </is>
      </c>
      <c r="F28" s="12" t="n">
        <v>10000</v>
      </c>
      <c r="G28" s="12">
        <f>D28*F28</f>
        <v/>
      </c>
    </row>
    <row r="29">
      <c r="A29" s="10" t="n">
        <v>13</v>
      </c>
      <c r="B29" s="10" t="inlineStr">
        <is>
          <t>WORK-REMOVE</t>
        </is>
      </c>
      <c r="C29" s="11" t="inlineStr">
        <is>
          <t>既存機材撤去・処分費</t>
        </is>
      </c>
      <c r="D29" s="10" t="n">
        <v>50</v>
      </c>
      <c r="E29" s="10" t="inlineStr">
        <is>
          <t>台</t>
        </is>
      </c>
      <c r="F29" s="12" t="n">
        <v>4500</v>
      </c>
      <c r="G29" s="12">
        <f>D29*F29</f>
        <v/>
      </c>
    </row>
    <row r="30">
      <c r="A30" s="10" t="n">
        <v>14</v>
      </c>
      <c r="B30" s="10" t="inlineStr">
        <is>
          <t>WORK-TRANS</t>
        </is>
      </c>
      <c r="C30" s="11" t="inlineStr">
        <is>
          <t>現地交通費</t>
        </is>
      </c>
      <c r="D30" s="10" t="n">
        <v>1</v>
      </c>
      <c r="E30" s="10" t="inlineStr">
        <is>
          <t>回</t>
        </is>
      </c>
      <c r="F30" s="12" t="n">
        <v>5000</v>
      </c>
      <c r="G30" s="12">
        <f>D30*F30</f>
        <v/>
      </c>
    </row>
    <row r="31">
      <c r="A31" s="10" t="n">
        <v>15</v>
      </c>
      <c r="B31" s="10" t="inlineStr">
        <is>
          <t>WORK-MGT</t>
        </is>
      </c>
      <c r="C31" s="11" t="inlineStr">
        <is>
          <t>諸経費(現場管理費)</t>
        </is>
      </c>
      <c r="D31" s="10" t="n">
        <v>1</v>
      </c>
      <c r="E31" s="10" t="inlineStr">
        <is>
          <t>式</t>
        </is>
      </c>
      <c r="F31" s="12" t="n">
        <v>15000</v>
      </c>
      <c r="G31" s="12">
        <f>D31*F31</f>
        <v/>
      </c>
    </row>
    <row r="33">
      <c r="F33" s="13" t="inlineStr">
        <is>
          <t>小計</t>
        </is>
      </c>
      <c r="G33" s="14">
        <f>SUM(G17:G31)</f>
        <v/>
      </c>
    </row>
    <row r="34">
      <c r="F34" s="13" t="inlineStr">
        <is>
          <t>消費税（10%）</t>
        </is>
      </c>
      <c r="G34" s="14">
        <f>G33*0.1</f>
        <v/>
      </c>
    </row>
    <row r="35">
      <c r="F35" s="15" t="inlineStr">
        <is>
          <t>合計</t>
        </is>
      </c>
      <c r="G35" s="16">
        <f>G33+G34</f>
        <v/>
      </c>
    </row>
    <row r="38">
      <c r="A38" s="9" t="inlineStr">
        <is>
          <t>【備考】</t>
        </is>
      </c>
    </row>
    <row r="39">
      <c r="A39" s="17" t="inlineStr">
        <is>
          <t>・配送費は弊社負担とさせていただきます</t>
        </is>
      </c>
    </row>
    <row r="40">
      <c r="A40" s="17" t="inlineStr">
        <is>
          <t>・設置後1年間の保証付き（自然故障のみ）</t>
        </is>
      </c>
    </row>
    <row r="41">
      <c r="A41" s="17" t="inlineStr">
        <is>
          <t>・既存機材の撤去・処分費は本見積に含みます</t>
        </is>
      </c>
    </row>
    <row r="42">
      <c r="A42" s="17" t="inlineStr">
        <is>
          <t>・現地調査の結果により追加工事費が発生する場合があります</t>
        </is>
      </c>
    </row>
    <row r="43">
      <c r="A43" s="17" t="inlineStr">
        <is>
          <t>・お支払いは納品完了後、翌月末までの振込とさせていただきます</t>
        </is>
      </c>
    </row>
    <row r="44">
      <c r="A44" s="17" t="inlineStr">
        <is>
          <t>・本見積書の有効期限は発行日より30日間です</t>
        </is>
      </c>
    </row>
    <row r="47" ht="45" customHeight="1">
      <c r="E47" s="10" t="inlineStr">
        <is>
          <t>印</t>
        </is>
      </c>
      <c r="F47" s="10" t="inlineStr">
        <is>
          <t>印</t>
        </is>
      </c>
      <c r="G47" s="10" t="inlineStr">
        <is>
          <t>印</t>
        </is>
      </c>
    </row>
  </sheetData>
  <mergeCells count="13">
    <mergeCell ref="B10:D10"/>
    <mergeCell ref="B11:D11"/>
    <mergeCell ref="A44:G44"/>
    <mergeCell ref="A1:G1"/>
    <mergeCell ref="A40:G40"/>
    <mergeCell ref="A6:G6"/>
    <mergeCell ref="B8:D8"/>
    <mergeCell ref="A39:G39"/>
    <mergeCell ref="A41:G41"/>
    <mergeCell ref="A43:G43"/>
    <mergeCell ref="B12:D12"/>
    <mergeCell ref="A4:C4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2026-04-12T05:49:27Z</dcterms:created>
  <dcterms:modified xsi:type="dcterms:W3CDTF">2026-04-12T05:49:27Z</dcterms:modified>
</cp:coreProperties>
</file>